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xr:revisionPtr revIDLastSave="0" documentId="8_{DB4638AE-D520-47E1-B5F8-8D1BEF35CF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rements Mapping" sheetId="1" r:id="rId1"/>
    <sheet name="Business Rules" sheetId="2" r:id="rId2"/>
    <sheet name="Change 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</calcChain>
</file>

<file path=xl/sharedStrings.xml><?xml version="1.0" encoding="utf-8"?>
<sst xmlns="http://schemas.openxmlformats.org/spreadsheetml/2006/main" count="133" uniqueCount="109">
  <si>
    <t>#</t>
  </si>
  <si>
    <t>Requirement (UI Checklist Item)</t>
  </si>
  <si>
    <t>Logic / Rule (business intent)</t>
  </si>
  <si>
    <t>Source Table</t>
  </si>
  <si>
    <t>Field(s) / Activity Name</t>
  </si>
  <si>
    <t>Validation Rule (how we prove it)</t>
  </si>
  <si>
    <t>Risk-Tier Weight*</t>
  </si>
  <si>
    <t>Status (0/1)</t>
  </si>
  <si>
    <t>Impacts Readiness?</t>
  </si>
  <si>
    <t>Initial Portal Login</t>
  </si>
  <si>
    <t>Student has logged into the student portal at least once</t>
  </si>
  <si>
    <t>activity_log</t>
  </si>
  <si>
    <t>activity_name = 'portal_login'</t>
  </si>
  <si>
    <t>Pending ingestion (Alpesh) - portal logs live in a separate GCP project, no ETA. Treat as 0 until pipeline lands.</t>
  </si>
  <si>
    <t>HIGH</t>
  </si>
  <si>
    <t>YES</t>
  </si>
  <si>
    <t>FAFSA / Funding Plan Complete</t>
  </si>
  <si>
    <t>Student has either submitted FAFSA OR is on an alternate funding path</t>
  </si>
  <si>
    <t>salesforce + activity_log</t>
  </si>
  <si>
    <t>salesforce.received_fafsa_application_c  |  activity_log.activity_name = 'alternate_funding_submission'</t>
  </si>
  <si>
    <t>fafsa_submission_flag = TRUE  OR  any 'alternate_funding_submission' row exists for student. Strict boolean; pending/withdrawn -&gt; FALSE (Manvitha 4/27). v17.9 sec 11.</t>
  </si>
  <si>
    <t>Course Registration (Accredited &amp; Active)</t>
  </si>
  <si>
    <t>Student is registered for an ACCREDITED course AND has not dropped it</t>
  </si>
  <si>
    <t>activity_name = 'first_course_registration'  +  is_accredited  +  activity_name = 'course_drop' (separate row)</t>
  </si>
  <si>
    <t>Row exists where activity_name='first_course_registration' AND is_accredited=TRUE, AND NO later activity_name='course_drop' row for the same student/course. Manvitha 4/28: confirm course_drop is its own activity_name (it is - separate row in same table, not a separate column).</t>
  </si>
  <si>
    <t>No Active Contingencies</t>
  </si>
  <si>
    <t>No outstanding contingency holds against the student</t>
  </si>
  <si>
    <t>salesforce</t>
  </si>
  <si>
    <t>contingency_status</t>
  </si>
  <si>
    <t>Default TRUE when no active contingency rows (Bryan 4/27: 'no active contingencies' interpretation OK'd). Flip to 0 only when an open contingency row exists.</t>
  </si>
  <si>
    <t>Engagement</t>
  </si>
  <si>
    <t>Student has accessed the LMS at least once (rolling engagement signal)</t>
  </si>
  <si>
    <t>activity_name = 'lms_login'</t>
  </si>
  <si>
    <t>Any row exists. LIVE in source as of 4/27 (5,423 rows dev + QA, repeats per student per v17.9 sec 13).</t>
  </si>
  <si>
    <t>WoW Orientation Login</t>
  </si>
  <si>
    <t>Student has completed Walden's Way orientation login</t>
  </si>
  <si>
    <t>activity_name IN ('wow_login', 'wwow_login')</t>
  </si>
  <si>
    <t>Either name satisfies (Bryan 4/27: 'leave it, cover both'). 4,082 wwow_login rows currently.</t>
  </si>
  <si>
    <t>Course Login (Accredited, Post-Start)</t>
  </si>
  <si>
    <t>Student has logged into an ACCREDITED course AFTER program start date</t>
  </si>
  <si>
    <t>activity_name = 'logged_into_course'  +  is_accredited  +  program_start_date gate</t>
  </si>
  <si>
    <t>Row exists where activity_name='logged_into_course' AND is_accredited=TRUE AND today &gt;= program_start_date. Suppress pre-start (EVENT_LAYER_SPEC sec 6.5). TRIAGE OPEN: Abraham A01301412 false-positive 28d pre-start (Jake 4/27: raw=TRUE -&gt; source bug to Alpesh; raw=FALSE -&gt; UI bug to Jake).</t>
  </si>
  <si>
    <t>Course Participation (Post-Start)</t>
  </si>
  <si>
    <t>Student has submitted to discussion board AFTER program start (program-level, not course-specific)</t>
  </si>
  <si>
    <t>activity_name = 'discussion_board_submission'  +  program_start_date gate</t>
  </si>
  <si>
    <t>Row exists where activity_name='discussion_board_submission' AND today &gt;= program_start_date. ** NO is_accredited gate ** - Alpesh 4/28: 'discussion_board_submission is not tied to a specific course, rather it is for the entire program.' Field is not populated on these rows by design.</t>
  </si>
  <si>
    <t>*</t>
  </si>
  <si>
    <t>ALL items are validated regardless of weight. 'Risk-Tier Weight' only drives which incomplete items downgrade the computed tier (per Manvitha 4/24 rule). Open question: keep weighted scheme or flatten to single tier?</t>
  </si>
  <si>
    <t>Risk-Tier Logic (Manvitha 4/24)</t>
  </si>
  <si>
    <t>LOW Risk:</t>
  </si>
  <si>
    <t>If ANY HIGH-weight item Status = 0</t>
  </si>
  <si>
    <t>MEDIUM Risk:</t>
  </si>
  <si>
    <t>If NO HIGH = 0 but ANY MEDIUM = 0</t>
  </si>
  <si>
    <t>HIGH (Ready):</t>
  </si>
  <si>
    <t>If no HIGH or MEDIUM incomplete</t>
  </si>
  <si>
    <t>Live Score</t>
  </si>
  <si>
    <t>HIGH incomplete count:</t>
  </si>
  <si>
    <t>MEDIUM incomplete count:</t>
  </si>
  <si>
    <t>Computed Risk Tier:</t>
  </si>
  <si>
    <t>Rule</t>
  </si>
  <si>
    <t>Description</t>
  </si>
  <si>
    <t>Accredited Gating</t>
  </si>
  <si>
    <t>Course Registration and Course Login only count when is_accredited=TRUE on the underlying activity_log row (course-level events). Bryan 4/27 'the accredited piece'; Manvitha 4/28 reinforced. NOTE: Course Participation (discussion_board_submission) is program-level NOT course-level per Alpesh 4/28, so is_accredited does not apply there.</t>
  </si>
  <si>
    <t>Course Drop Handling</t>
  </si>
  <si>
    <t>course_drop is a separate activity_name (NOT a separate column) in activity_log. If a course_drop row exists AFTER a first_course_registration row for the same student/course, the registration requirement falls back to incomplete until re-registration.</t>
  </si>
  <si>
    <t>Temporal Validation</t>
  </si>
  <si>
    <t>Ignore LMS-related events before program_start_date (gates Course Login + Course Participation; EVENT_LAYER_SPEC sec 6.5).</t>
  </si>
  <si>
    <t>Census Rule</t>
  </si>
  <si>
    <t>Remove student if today &gt;= program_start_date + 1 day past census (Bryan 4/27 @ 11:30, supersedes earlier 10-day figure).</t>
  </si>
  <si>
    <t>Negative Time Display</t>
  </si>
  <si>
    <t>If today &gt; program_start_date show negative days post-start; zero-day handled separately.</t>
  </si>
  <si>
    <t>FAFSA OR Alt-Funding</t>
  </si>
  <si>
    <t>Funding requirement passes if EITHER fafsa_submission_flag=TRUE OR an alternate_funding_submission row exists (v17.9 sec 11).</t>
  </si>
  <si>
    <t>WoW Dual Match</t>
  </si>
  <si>
    <t>Match BOTH wow_login and wwow_login activity names (Bryan 4/27).</t>
  </si>
  <si>
    <t>Email/SMS Draft Blank</t>
  </si>
  <si>
    <t>NOT a bug - async AI generation populates 5-7s after page load (Jake 4/27 @ 30:00).</t>
  </si>
  <si>
    <t>Test Environment</t>
  </si>
  <si>
    <t>QA = stable verification env once Jake permissions unblock (Kevin + Vishnu); supersedes 'verify in dev'.</t>
  </si>
  <si>
    <t>Course Login Triage</t>
  </si>
  <si>
    <t>If raw logged_into_course=TRUE for pre-start student -&gt; source bug -&gt; Alpesh; if FALSE -&gt; UI bug -&gt; Jake (Jake 4/27 @ 29:19).</t>
  </si>
  <si>
    <t>NBA Grammarly Copy</t>
  </si>
  <si>
    <t>Header: 'Set Up a Free Grammarly Account'; Sub: 'Guide student to Grammarly'; visible link styling.</t>
  </si>
  <si>
    <t>Risk-Tier Weight</t>
  </si>
  <si>
    <t>ALL items validated. Weight (HIGH/MEDIUM/LOW) only controls tier downgrade per Manvitha's 4/24 rule. Open: keep weighted or flatten to single tier.</t>
  </si>
  <si>
    <t>Discussion Board scope</t>
  </si>
  <si>
    <t>Alpesh confirmed 4/28 PM: discussion_board_submission is PROGRAM-LEVEL (not tied to a specific course). is_accredited is intentionally NOT populated on these rows. Course Participation requirement therefore validates only on row existence + post-start gate.</t>
  </si>
  <si>
    <t>Date</t>
  </si>
  <si>
    <t>Author</t>
  </si>
  <si>
    <t>Change</t>
  </si>
  <si>
    <t>2026-04-24</t>
  </si>
  <si>
    <t>Manvitha (Teams)</t>
  </si>
  <si>
    <t>Defined risk-tier logic: LOW/MEDIUM/HIGH from HIGH+MEDIUM checklist incompletes</t>
  </si>
  <si>
    <t>2026-04-27</t>
  </si>
  <si>
    <t>Nagendra (v2)</t>
  </si>
  <si>
    <t>Initial structure: Checklist Mapping + Business Rules</t>
  </si>
  <si>
    <t>2026-04-28</t>
  </si>
  <si>
    <t>Nagendra (v4)</t>
  </si>
  <si>
    <t>Added Priority, Status (0/1), Impacts Readiness columns + readiness logic block</t>
  </si>
  <si>
    <t>Nagendra (v5)</t>
  </si>
  <si>
    <t>Color-coded Priority/Status; live formulas wire Status -&gt; Computed Risk Tier</t>
  </si>
  <si>
    <t>Manvitha PM feedback</t>
  </si>
  <si>
    <t>Reframe requirements-first; verify is_accredited on Course Reg + Course Participation; reference course_drop field; clarify Priority</t>
  </si>
  <si>
    <t>Nagendra (v6)</t>
  </si>
  <si>
    <t>Reframed Requirement -&gt; Logic -&gt; Source -&gt; Field; added is_accredited gating to Course Reg / Login / Participation; added course_drop invalidation rule; renamed Priority -&gt; Risk-Tier Weight w/ footnote</t>
  </si>
  <si>
    <t>Alpesh (Slack reply)</t>
  </si>
  <si>
    <t>Clarified discussion_board_submission is PROGRAM-level not course-level; is_accredited not populated on those rows by design</t>
  </si>
  <si>
    <t>Nagendra (v7)</t>
  </si>
  <si>
    <t>Removed is_accredited gate from Course Participation (row 8); kept on Course Reg + Course Login only; updated Business Rules + added Discussion Board scope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</si>
</sst>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595959"/>
      <name val="Calibri"/>
    </font>
    <font>
      <b/>
      <sz val="12"/>
      <name val="Calibri"/>
    </font>
    <font>
      <b/>
      <sz val="11"/>
      <color rgb="FF9C0006"/>
      <name val="Calibri"/>
    </font>
    <font>
      <b/>
      <sz val="11"/>
      <color rgb="FF9C5700"/>
      <name val="Calibri"/>
    </font>
    <font>
      <b/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8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699"/>
        </patternFill>
      </fill>
    </dxf>
    <dxf>
      <font>
        <b/>
        <color rgb="FF9C0006"/>
      </font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699"/>
        </patternFill>
      </fill>
    </dxf>
    <dxf>
      <font>
        <b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9.7109375" customWidth="1"/>
    <col min="2" max="2" width="32" customWidth="1"/>
    <col min="3" max="3" width="42" customWidth="1"/>
    <col min="4" max="4" width="22" customWidth="1"/>
    <col min="5" max="5" width="50" customWidth="1"/>
    <col min="6" max="6" width="70" customWidth="1"/>
    <col min="7" max="7" width="13" customWidth="1"/>
    <col min="8" max="8" width="11" customWidth="1"/>
    <col min="9" max="9" width="13" customWidth="1"/>
  </cols>
  <sheetData>
    <row r="1" spans="1:9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0</v>
      </c>
      <c r="I2" s="2" t="s">
        <v>15</v>
      </c>
    </row>
    <row r="3" spans="1:9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>
        <v>0</v>
      </c>
      <c r="I3" s="2" t="s">
        <v>15</v>
      </c>
    </row>
    <row r="4" spans="1:9">
      <c r="A4" s="2">
        <v>3</v>
      </c>
      <c r="B4" s="2" t="s">
        <v>21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14</v>
      </c>
      <c r="H4" s="2">
        <v>0</v>
      </c>
      <c r="I4" s="2" t="s">
        <v>15</v>
      </c>
    </row>
    <row r="5" spans="1:9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14</v>
      </c>
      <c r="H5" s="2">
        <v>1</v>
      </c>
      <c r="I5" s="2" t="s">
        <v>15</v>
      </c>
    </row>
    <row r="6" spans="1:9" ht="30.75">
      <c r="A6" s="2">
        <v>5</v>
      </c>
      <c r="B6" s="2" t="s">
        <v>30</v>
      </c>
      <c r="C6" s="2" t="s">
        <v>31</v>
      </c>
      <c r="D6" s="2" t="s">
        <v>11</v>
      </c>
      <c r="E6" s="2" t="s">
        <v>32</v>
      </c>
      <c r="F6" s="2" t="s">
        <v>33</v>
      </c>
      <c r="G6" s="2" t="s">
        <v>14</v>
      </c>
      <c r="H6" s="2">
        <v>0</v>
      </c>
      <c r="I6" s="2" t="s">
        <v>15</v>
      </c>
    </row>
    <row r="7" spans="1:9">
      <c r="A7" s="2">
        <v>6</v>
      </c>
      <c r="B7" s="2" t="s">
        <v>34</v>
      </c>
      <c r="C7" s="2" t="s">
        <v>35</v>
      </c>
      <c r="D7" s="2" t="s">
        <v>11</v>
      </c>
      <c r="E7" s="2" t="s">
        <v>36</v>
      </c>
      <c r="F7" s="2" t="s">
        <v>37</v>
      </c>
      <c r="G7" s="2" t="s">
        <v>14</v>
      </c>
      <c r="H7" s="2">
        <v>0</v>
      </c>
      <c r="I7" s="2" t="s">
        <v>15</v>
      </c>
    </row>
    <row r="8" spans="1:9">
      <c r="A8" s="2">
        <v>7</v>
      </c>
      <c r="B8" s="2" t="s">
        <v>38</v>
      </c>
      <c r="C8" s="2" t="s">
        <v>39</v>
      </c>
      <c r="D8" s="2" t="s">
        <v>11</v>
      </c>
      <c r="E8" s="2" t="s">
        <v>40</v>
      </c>
      <c r="F8" s="2" t="s">
        <v>41</v>
      </c>
      <c r="G8" s="2" t="s">
        <v>14</v>
      </c>
      <c r="H8" s="2">
        <v>0</v>
      </c>
      <c r="I8" s="2" t="s">
        <v>15</v>
      </c>
    </row>
    <row r="9" spans="1:9">
      <c r="A9" s="2">
        <v>8</v>
      </c>
      <c r="B9" s="2" t="s">
        <v>42</v>
      </c>
      <c r="C9" s="2" t="s">
        <v>43</v>
      </c>
      <c r="D9" s="2" t="s">
        <v>11</v>
      </c>
      <c r="E9" s="2" t="s">
        <v>44</v>
      </c>
      <c r="F9" s="2" t="s">
        <v>45</v>
      </c>
      <c r="G9" s="2" t="s">
        <v>14</v>
      </c>
      <c r="H9" s="2">
        <v>0</v>
      </c>
      <c r="I9" s="2" t="s">
        <v>15</v>
      </c>
    </row>
    <row r="10" spans="1:9">
      <c r="A10" s="3" t="s">
        <v>46</v>
      </c>
      <c r="B10" s="8" t="s">
        <v>47</v>
      </c>
      <c r="C10" s="9"/>
      <c r="D10" s="9"/>
      <c r="E10" s="9"/>
      <c r="F10" s="9"/>
      <c r="G10" s="9"/>
      <c r="H10" s="9"/>
      <c r="I10" s="9"/>
    </row>
    <row r="11" spans="1:9">
      <c r="A11" s="4" t="s">
        <v>48</v>
      </c>
    </row>
    <row r="12" spans="1:9">
      <c r="A12" s="5" t="s">
        <v>49</v>
      </c>
      <c r="B12" t="s">
        <v>50</v>
      </c>
    </row>
    <row r="13" spans="1:9">
      <c r="A13" s="6" t="s">
        <v>51</v>
      </c>
      <c r="B13" t="s">
        <v>52</v>
      </c>
    </row>
    <row r="14" spans="1:9">
      <c r="A14" s="7" t="s">
        <v>53</v>
      </c>
      <c r="B14" t="s">
        <v>54</v>
      </c>
    </row>
    <row r="16" spans="1:9">
      <c r="A16" s="4" t="s">
        <v>55</v>
      </c>
    </row>
    <row r="17" spans="1:2">
      <c r="A17" s="3" t="s">
        <v>56</v>
      </c>
      <c r="B17">
        <f>COUNTIFS(G2:G9,"HIGH",H2:H9,0)</f>
        <v>7</v>
      </c>
    </row>
    <row r="18" spans="1:2">
      <c r="A18" s="3" t="s">
        <v>57</v>
      </c>
      <c r="B18">
        <f>COUNTIFS(G2:G9,"MEDIUM",H2:H9,0)</f>
        <v>0</v>
      </c>
    </row>
    <row r="19" spans="1:2">
      <c r="A19" s="4" t="s">
        <v>58</v>
      </c>
      <c r="B19" s="4" t="str">
        <f>IF(COUNTIFS(G2:G9,"HIGH",H2:H9,0)&gt;0,"LOW",IF(COUNTIFS(G2:G9,"MEDIUM",H2:H9,0)&gt;0,"MEDIUM","HIGH"))</f>
        <v>LOW</v>
      </c>
    </row>
  </sheetData>
  <mergeCells count="1">
    <mergeCell ref="B10:I10"/>
  </mergeCells>
  <conditionalFormatting sqref="G2:G9">
    <cfRule type="cellIs" dxfId="7" priority="1" operator="equal">
      <formula>"HIGH"</formula>
    </cfRule>
    <cfRule type="cellIs" dxfId="6" priority="2" operator="equal">
      <formula>"MEDIUM"</formula>
    </cfRule>
    <cfRule type="cellIs" dxfId="5" priority="3" operator="equal">
      <formula>"LOW"</formula>
    </cfRule>
  </conditionalFormatting>
  <conditionalFormatting sqref="H2:H9">
    <cfRule type="cellIs" dxfId="4" priority="4" operator="equal">
      <formula>0</formula>
    </cfRule>
    <cfRule type="cellIs" dxfId="3" priority="5" operator="equal">
      <formula>1</formula>
    </cfRule>
  </conditionalFormatting>
  <conditionalFormatting sqref="B19">
    <cfRule type="cellIs" dxfId="2" priority="6" operator="equal">
      <formula>"LOW"</formula>
    </cfRule>
    <cfRule type="cellIs" dxfId="1" priority="7" operator="equal">
      <formula>"MEDIUM"</formula>
    </cfRule>
    <cfRule type="cellIs" dxfId="0" priority="8" operator="equal">
      <formula>"HIGH"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10" customWidth="1"/>
  </cols>
  <sheetData>
    <row r="1" spans="1:2">
      <c r="A1" s="1" t="s">
        <v>59</v>
      </c>
      <c r="B1" s="1" t="s">
        <v>60</v>
      </c>
    </row>
    <row r="2" spans="1:2">
      <c r="A2" s="2" t="s">
        <v>61</v>
      </c>
      <c r="B2" s="2" t="s">
        <v>62</v>
      </c>
    </row>
    <row r="3" spans="1:2">
      <c r="A3" s="2" t="s">
        <v>63</v>
      </c>
      <c r="B3" s="2" t="s">
        <v>64</v>
      </c>
    </row>
    <row r="4" spans="1:2">
      <c r="A4" s="2" t="s">
        <v>65</v>
      </c>
      <c r="B4" s="2" t="s">
        <v>66</v>
      </c>
    </row>
    <row r="5" spans="1:2">
      <c r="A5" s="2" t="s">
        <v>67</v>
      </c>
      <c r="B5" s="2" t="s">
        <v>68</v>
      </c>
    </row>
    <row r="6" spans="1:2">
      <c r="A6" s="2" t="s">
        <v>69</v>
      </c>
      <c r="B6" s="2" t="s">
        <v>70</v>
      </c>
    </row>
    <row r="7" spans="1:2">
      <c r="A7" s="2" t="s">
        <v>71</v>
      </c>
      <c r="B7" s="2" t="s">
        <v>72</v>
      </c>
    </row>
    <row r="8" spans="1:2">
      <c r="A8" s="2" t="s">
        <v>73</v>
      </c>
      <c r="B8" s="2" t="s">
        <v>74</v>
      </c>
    </row>
    <row r="9" spans="1:2">
      <c r="A9" s="2" t="s">
        <v>75</v>
      </c>
      <c r="B9" s="2" t="s">
        <v>76</v>
      </c>
    </row>
    <row r="10" spans="1:2">
      <c r="A10" s="2" t="s">
        <v>77</v>
      </c>
      <c r="B10" s="2" t="s">
        <v>78</v>
      </c>
    </row>
    <row r="11" spans="1:2">
      <c r="A11" s="2" t="s">
        <v>79</v>
      </c>
      <c r="B11" s="2" t="s">
        <v>80</v>
      </c>
    </row>
    <row r="12" spans="1:2">
      <c r="A12" s="2" t="s">
        <v>81</v>
      </c>
      <c r="B12" s="2" t="s">
        <v>82</v>
      </c>
    </row>
    <row r="13" spans="1:2">
      <c r="A13" s="2" t="s">
        <v>83</v>
      </c>
      <c r="B13" s="2" t="s">
        <v>84</v>
      </c>
    </row>
    <row r="14" spans="1:2">
      <c r="A14" s="2" t="s">
        <v>85</v>
      </c>
      <c r="B14" s="2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8" customWidth="1"/>
    <col min="3" max="3" width="100" customWidth="1"/>
  </cols>
  <sheetData>
    <row r="1" spans="1:3">
      <c r="A1" s="1" t="s">
        <v>87</v>
      </c>
      <c r="B1" s="1" t="s">
        <v>88</v>
      </c>
      <c r="C1" s="1" t="s">
        <v>89</v>
      </c>
    </row>
    <row r="2" spans="1:3">
      <c r="A2" s="2" t="s">
        <v>90</v>
      </c>
      <c r="B2" s="2" t="s">
        <v>91</v>
      </c>
      <c r="C2" s="2" t="s">
        <v>92</v>
      </c>
    </row>
    <row r="3" spans="1:3">
      <c r="A3" s="2" t="s">
        <v>93</v>
      </c>
      <c r="B3" s="2" t="s">
        <v>94</v>
      </c>
      <c r="C3" s="2" t="s">
        <v>95</v>
      </c>
    </row>
    <row r="4" spans="1:3">
      <c r="A4" s="2" t="s">
        <v>96</v>
      </c>
      <c r="B4" s="2" t="s">
        <v>97</v>
      </c>
      <c r="C4" s="2" t="s">
        <v>98</v>
      </c>
    </row>
    <row r="5" spans="1:3">
      <c r="A5" s="2" t="s">
        <v>96</v>
      </c>
      <c r="B5" s="2" t="s">
        <v>99</v>
      </c>
      <c r="C5" s="2" t="s">
        <v>100</v>
      </c>
    </row>
    <row r="6" spans="1:3">
      <c r="A6" s="2" t="s">
        <v>96</v>
      </c>
      <c r="B6" s="2" t="s">
        <v>101</v>
      </c>
      <c r="C6" s="2" t="s">
        <v>102</v>
      </c>
    </row>
    <row r="7" spans="1:3">
      <c r="A7" s="2" t="s">
        <v>96</v>
      </c>
      <c r="B7" s="2" t="s">
        <v>103</v>
      </c>
      <c r="C7" s="2" t="s">
        <v>104</v>
      </c>
    </row>
    <row r="8" spans="1:3">
      <c r="A8" s="2" t="s">
        <v>96</v>
      </c>
      <c r="B8" s="2" t="s">
        <v>105</v>
      </c>
      <c r="C8" s="2" t="s">
        <v>106</v>
      </c>
    </row>
    <row r="9" spans="1:3">
      <c r="A9" s="2" t="s">
        <v>96</v>
      </c>
      <c r="B9" s="2" t="s">
        <v>107</v>
      </c>
      <c r="C9" s="2" t="s">
        <v>108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5D71F8429EE459A67C78B281E135B" ma:contentTypeVersion="11" ma:contentTypeDescription="Create a new document." ma:contentTypeScope="" ma:versionID="851b7332eee826f191cd81aa063b2691">
  <xsd:schema xmlns:xsd="http://www.w3.org/2001/XMLSchema" xmlns:xs="http://www.w3.org/2001/XMLSchema" xmlns:p="http://schemas.microsoft.com/office/2006/metadata/properties" xmlns:ns2="3a1e7196-1b63-44bb-9c29-9cad66efff62" xmlns:ns3="1798df32-5580-407c-946d-b8ffccb46902" targetNamespace="http://schemas.microsoft.com/office/2006/metadata/properties" ma:root="true" ma:fieldsID="2f7e09102cf50dd5dab6abf7ed33cb09" ns2:_="" ns3:_="">
    <xsd:import namespace="3a1e7196-1b63-44bb-9c29-9cad66efff62"/>
    <xsd:import namespace="1798df32-5580-407c-946d-b8ffccb46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e7196-1b63-44bb-9c29-9cad66eff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ca446d-c166-4ca0-b6cc-4db8fda31d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8df32-5580-407c-946d-b8ffccb4690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acc4d1-0fce-434d-8afe-bb23f64c7b3e}" ma:internalName="TaxCatchAll" ma:showField="CatchAllData" ma:web="1798df32-5580-407c-946d-b8ffccb469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1e7196-1b63-44bb-9c29-9cad66efff62">
      <Terms xmlns="http://schemas.microsoft.com/office/infopath/2007/PartnerControls"/>
    </lcf76f155ced4ddcb4097134ff3c332f>
    <TaxCatchAll xmlns="1798df32-5580-407c-946d-b8ffccb46902" xsi:nil="true"/>
  </documentManagement>
</p:properties>
</file>

<file path=customXml/itemProps1.xml><?xml version="1.0" encoding="utf-8"?>
<ds:datastoreItem xmlns:ds="http://schemas.openxmlformats.org/officeDocument/2006/customXml" ds:itemID="{E21CC42C-6126-49C8-B667-B87A05F8475E}"/>
</file>

<file path=customXml/itemProps2.xml><?xml version="1.0" encoding="utf-8"?>
<ds:datastoreItem xmlns:ds="http://schemas.openxmlformats.org/officeDocument/2006/customXml" ds:itemID="{A9FB9FC8-EE12-4DF0-BC41-18590A09CD0B}"/>
</file>

<file path=customXml/itemProps3.xml><?xml version="1.0" encoding="utf-8"?>
<ds:datastoreItem xmlns:ds="http://schemas.openxmlformats.org/officeDocument/2006/customXml" ds:itemID="{138B6D39-2A37-48E7-AE2A-96307C230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2026-04-28T15:53:29Z</dcterms:created>
  <dcterms:modified xsi:type="dcterms:W3CDTF">2026-04-28T16:54:25Z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0x010100B695D71F8429EE459A67C78B281E135B</vt:lpwstr>
  </property>
</Properties>
</file>